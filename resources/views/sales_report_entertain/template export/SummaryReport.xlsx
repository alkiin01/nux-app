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<sst xmlns="http://schemas.openxmlformats.org/spreadsheetml/2006/main" count="59" uniqueCount="55">
  <si>
    <t>PT. SUMMIT ADYAWINSA INDONESIA</t>
  </si>
  <si>
    <t>Company</t>
  </si>
  <si>
    <t>: PT. Summit Adyawinsa Indonesia</t>
  </si>
  <si>
    <t>TRAVEL OVERSEA BUDGET</t>
  </si>
  <si>
    <t xml:space="preserve">Doc. No </t>
  </si>
  <si>
    <t>: FO-72-34</t>
  </si>
  <si>
    <t>Department …………………</t>
  </si>
  <si>
    <t xml:space="preserve">RUN NO. </t>
  </si>
  <si>
    <t>Year 2025</t>
  </si>
  <si>
    <t>Issued Date ………</t>
  </si>
  <si>
    <t>: 10 September 2015</t>
  </si>
  <si>
    <t>IDR</t>
  </si>
  <si>
    <t>Item</t>
  </si>
  <si>
    <t>Customer</t>
  </si>
  <si>
    <t>Amount usage on 2024 (IDR)</t>
  </si>
  <si>
    <t>Cost Center Code</t>
  </si>
  <si>
    <t>Cost Center Name</t>
  </si>
  <si>
    <t>Content</t>
  </si>
  <si>
    <t>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</si>
  <si>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</si>
  <si>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</si>
  <si>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</si>
  <si>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</si>
  <si>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</si>
  <si>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</si>
  <si>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</si>
  <si>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</si>
  <si>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</si>
  <si>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</si>
  <si>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</si>
  <si>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</si>
  <si>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</si>
  <si>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Remark</t>
  </si>
  <si>
    <t>Yes</t>
  </si>
  <si>
    <t>No</t>
  </si>
  <si>
    <t>Pending</t>
  </si>
  <si>
    <t>Explanation</t>
  </si>
  <si>
    <t>[[Customer]]</t>
  </si>
  <si>
    <t>[[AMT_Last_Year]]</t>
  </si>
  <si>
    <t>[[CC]]</t>
  </si>
  <si>
    <t>[[SaiMem]]</t>
  </si>
  <si>
    <t>[[Content]]</t>
  </si>
  <si>
    <t>v</t>
  </si>
  <si>
    <t>[[AMTmonth]]</t>
  </si>
  <si>
    <t>Budget Total</t>
  </si>
  <si>
    <t>Actual Total</t>
  </si>
  <si>
    <t>Remain / Month</t>
  </si>
  <si>
    <t>% Actual from Budget</t>
  </si>
  <si>
    <t>Remain Accumulation</t>
  </si>
  <si>
    <t>Revision No</t>
  </si>
  <si>
    <t>History Revision</t>
  </si>
  <si>
    <t>Change Document Number and Additional Column</t>
  </si>
  <si>
    <t>Prepare by</t>
  </si>
  <si>
    <t>Reviewed By</t>
  </si>
  <si>
    <t xml:space="preserve">Approved by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</si>
</sst>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6">
    <font>
      <sz val="10.0"/>
      <color rgb="FF000000"/>
      <name val="Arial"/>
      <scheme val="minor"/>
    </font>
    <font>
      <sz val="12.0"/>
      <color theme="1"/>
      <name val="CordiaUPC"/>
    </font>
    <font>
      <b/>
      <sz val="14.0"/>
      <color theme="1"/>
      <name val="CordiaUPC"/>
    </font>
    <font>
      <sz val="14.0"/>
      <color theme="1"/>
      <name val="CordiaUPC"/>
    </font>
    <font>
      <b/>
      <sz val="14.0"/>
      <color rgb="FF000000"/>
      <name val="Calibri"/>
    </font>
    <font/>
    <font>
      <sz val="11.0"/>
      <color theme="1"/>
      <name val="Calibri"/>
    </font>
    <font>
      <b/>
      <sz val="10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sz val="14.0"/>
      <color theme="1"/>
      <name val="Calibri"/>
    </font>
    <font>
      <sz val="10.0"/>
      <color theme="1"/>
      <name val="Tahoma"/>
    </font>
    <font>
      <sz val="14.0"/>
      <color theme="1"/>
      <name val="Cordia New"/>
    </font>
    <font>
      <b/>
      <sz val="14.0"/>
      <color theme="1"/>
      <name val="Cordia New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</fills>
  <borders count="3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/>
      <top/>
      <bottom/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2" fillId="0" fontId="5" numFmtId="0" xfId="0" applyBorder="1" applyFont="1"/>
    <xf borderId="1" fillId="0" fontId="6" numFmtId="0" xfId="0" applyAlignment="1" applyBorder="1" applyFont="1">
      <alignment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horizontal="center" shrinkToFit="0" vertical="center" wrapText="0"/>
    </xf>
    <xf borderId="5" fillId="0" fontId="5" numFmtId="0" xfId="0" applyBorder="1" applyFont="1"/>
    <xf borderId="4" fillId="0" fontId="10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5" fillId="0" fontId="12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horizontal="center" shrinkToFit="0" vertical="bottom" wrapText="0"/>
    </xf>
    <xf borderId="8" fillId="0" fontId="5" numFmtId="0" xfId="0" applyBorder="1" applyFont="1"/>
    <xf borderId="7" fillId="0" fontId="5" numFmtId="0" xfId="0" applyBorder="1" applyFont="1"/>
    <xf borderId="6" fillId="0" fontId="10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bottom" wrapText="0"/>
    </xf>
    <xf borderId="8" fillId="0" fontId="11" numFmtId="0" xfId="0" applyAlignment="1" applyBorder="1" applyFont="1">
      <alignment horizontal="center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7" fillId="0" fontId="2" numFmtId="0" xfId="0" applyAlignment="1" applyBorder="1" applyFon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9" fillId="0" fontId="2" numFmtId="0" xfId="0" applyAlignment="1" applyBorder="1" applyFont="1">
      <alignment horizontal="center" shrinkToFit="0" vertical="center" wrapText="0"/>
    </xf>
    <xf borderId="9" fillId="2" fontId="2" numFmtId="0" xfId="0" applyAlignment="1" applyBorder="1" applyFill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bottom" wrapText="0"/>
    </xf>
    <xf borderId="11" fillId="0" fontId="5" numFmtId="0" xfId="0" applyBorder="1" applyFont="1"/>
    <xf borderId="12" fillId="0" fontId="5" numFmtId="0" xfId="0" applyBorder="1" applyFont="1"/>
    <xf borderId="0" fillId="0" fontId="14" numFmtId="0" xfId="0" applyAlignment="1" applyFont="1">
      <alignment shrinkToFit="0" vertical="bottom" wrapText="0"/>
    </xf>
    <xf borderId="13" fillId="0" fontId="5" numFmtId="0" xfId="0" applyBorder="1" applyFont="1"/>
    <xf borderId="13" fillId="0" fontId="2" numFmtId="0" xfId="0" applyAlignment="1" applyBorder="1" applyFont="1">
      <alignment horizontal="center" shrinkToFit="0" vertical="bottom" wrapText="0"/>
    </xf>
    <xf borderId="14" fillId="0" fontId="2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shrinkToFit="0" vertical="bottom" wrapText="0"/>
    </xf>
    <xf borderId="16" fillId="0" fontId="3" numFmtId="164" xfId="0" applyAlignment="1" applyBorder="1" applyFont="1" applyNumberForma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15" fillId="0" fontId="3" numFmtId="164" xfId="0" applyAlignment="1" applyBorder="1" applyFont="1" applyNumberFormat="1">
      <alignment shrinkToFit="0" vertical="bottom" wrapText="0"/>
    </xf>
    <xf borderId="17" fillId="0" fontId="3" numFmtId="164" xfId="0" applyAlignment="1" applyBorder="1" applyFont="1" applyNumberFormat="1">
      <alignment shrinkToFit="0" vertical="bottom" wrapText="0"/>
    </xf>
    <xf borderId="14" fillId="0" fontId="13" numFmtId="0" xfId="0" applyAlignment="1" applyBorder="1" applyFont="1">
      <alignment horizontal="center" shrinkToFit="0" vertical="bottom" wrapText="0"/>
    </xf>
    <xf borderId="14" fillId="0" fontId="13" numFmtId="0" xfId="0" applyAlignment="1" applyBorder="1" applyFont="1">
      <alignment shrinkToFit="0" vertical="bottom" wrapText="0"/>
    </xf>
    <xf borderId="14" fillId="0" fontId="13" numFmtId="164" xfId="0" applyAlignment="1" applyBorder="1" applyFont="1" applyNumberFormat="1">
      <alignment shrinkToFit="0" vertical="bottom" wrapText="0"/>
    </xf>
    <xf borderId="18" fillId="0" fontId="3" numFmtId="0" xfId="0" applyAlignment="1" applyBorder="1" applyFont="1">
      <alignment shrinkToFit="0" vertical="bottom" wrapText="0"/>
    </xf>
    <xf borderId="18" fillId="0" fontId="3" numFmtId="164" xfId="0" applyAlignment="1" applyBorder="1" applyFont="1" applyNumberFormat="1">
      <alignment shrinkToFit="0" vertical="bottom" wrapText="0"/>
    </xf>
    <xf borderId="19" fillId="0" fontId="3" numFmtId="0" xfId="0" applyAlignment="1" applyBorder="1" applyFon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0" fillId="0" fontId="3" numFmtId="164" xfId="0" applyAlignment="1" applyBorder="1" applyFont="1" applyNumberFormat="1">
      <alignment shrinkToFit="0" vertical="bottom" wrapText="0"/>
    </xf>
    <xf borderId="21" fillId="0" fontId="3" numFmtId="164" xfId="0" applyAlignment="1" applyBorder="1" applyFont="1" applyNumberFormat="1">
      <alignment shrinkToFit="0" vertical="bottom" wrapText="0"/>
    </xf>
    <xf borderId="22" fillId="3" fontId="3" numFmtId="0" xfId="0" applyAlignment="1" applyBorder="1" applyFill="1" applyFont="1">
      <alignment horizontal="center" shrinkToFit="0" vertical="bottom" wrapText="0"/>
    </xf>
    <xf borderId="23" fillId="0" fontId="5" numFmtId="0" xfId="0" applyBorder="1" applyFont="1"/>
    <xf borderId="24" fillId="0" fontId="5" numFmtId="0" xfId="0" applyBorder="1" applyFont="1"/>
    <xf borderId="17" fillId="3" fontId="3" numFmtId="164" xfId="0" applyAlignment="1" applyBorder="1" applyFont="1" applyNumberFormat="1">
      <alignment horizontal="center" shrinkToFit="0" vertical="bottom" wrapText="0"/>
    </xf>
    <xf borderId="13" fillId="0" fontId="3" numFmtId="164" xfId="0" applyAlignment="1" applyBorder="1" applyFont="1" applyNumberFormat="1">
      <alignment shrinkToFit="0" vertical="bottom" wrapText="0"/>
    </xf>
    <xf borderId="14" fillId="2" fontId="14" numFmtId="164" xfId="0" applyAlignment="1" applyBorder="1" applyFont="1" applyNumberFormat="1">
      <alignment shrinkToFit="0" vertical="bottom" wrapText="0"/>
    </xf>
    <xf borderId="25" fillId="4" fontId="3" numFmtId="0" xfId="0" applyAlignment="1" applyBorder="1" applyFill="1" applyFont="1">
      <alignment horizontal="center" shrinkToFit="0" vertical="bottom" wrapText="0"/>
    </xf>
    <xf borderId="26" fillId="0" fontId="5" numFmtId="0" xfId="0" applyBorder="1" applyFont="1"/>
    <xf borderId="19" fillId="0" fontId="5" numFmtId="0" xfId="0" applyBorder="1" applyFont="1"/>
    <xf borderId="21" fillId="4" fontId="3" numFmtId="164" xfId="0" applyAlignment="1" applyBorder="1" applyFont="1" applyNumberFormat="1">
      <alignment horizontal="center" shrinkToFit="0" vertical="bottom" wrapText="0"/>
    </xf>
    <xf borderId="5" fillId="0" fontId="3" numFmtId="164" xfId="0" applyAlignment="1" applyBorder="1" applyFont="1" applyNumberFormat="1">
      <alignment shrinkToFit="0" vertical="bottom" wrapText="0"/>
    </xf>
    <xf borderId="27" fillId="2" fontId="14" numFmtId="164" xfId="0" applyAlignment="1" applyBorder="1" applyFont="1" applyNumberFormat="1">
      <alignment shrinkToFit="0" vertical="bottom" wrapText="0"/>
    </xf>
    <xf borderId="25" fillId="2" fontId="3" numFmtId="0" xfId="0" applyAlignment="1" applyBorder="1" applyFont="1">
      <alignment horizontal="center" shrinkToFit="0" vertical="bottom" wrapText="0"/>
    </xf>
    <xf borderId="18" fillId="2" fontId="3" numFmtId="164" xfId="0" applyAlignment="1" applyBorder="1" applyFont="1" applyNumberFormat="1">
      <alignment horizontal="center" shrinkToFit="0" vertical="bottom" wrapText="0"/>
    </xf>
    <xf borderId="25" fillId="3" fontId="3" numFmtId="0" xfId="0" applyAlignment="1" applyBorder="1" applyFont="1">
      <alignment horizontal="center" shrinkToFit="0" vertical="bottom" wrapText="0"/>
    </xf>
    <xf borderId="18" fillId="3" fontId="3" numFmtId="9" xfId="0" applyAlignment="1" applyBorder="1" applyFont="1" applyNumberFormat="1">
      <alignment horizontal="center" shrinkToFit="0" vertical="bottom" wrapText="0"/>
    </xf>
    <xf borderId="28" fillId="2" fontId="3" numFmtId="0" xfId="0" applyAlignment="1" applyBorder="1" applyFont="1">
      <alignment horizontal="center" shrinkToFit="0" vertical="bottom" wrapText="0"/>
    </xf>
    <xf borderId="29" fillId="0" fontId="5" numFmtId="0" xfId="0" applyBorder="1" applyFont="1"/>
    <xf borderId="30" fillId="0" fontId="5" numFmtId="0" xfId="0" applyBorder="1" applyFont="1"/>
    <xf borderId="21" fillId="2" fontId="3" numFmtId="164" xfId="0" applyAlignment="1" applyBorder="1" applyFont="1" applyNumberFormat="1">
      <alignment horizontal="center"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14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0"/>
    </xf>
    <xf borderId="14" fillId="0" fontId="15" numFmtId="0" xfId="0" applyAlignment="1" applyBorder="1" applyFont="1">
      <alignment shrinkToFit="0" vertical="bottom" wrapText="0"/>
    </xf>
    <xf borderId="10" fillId="0" fontId="15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2" fillId="0" fontId="1" numFmtId="0" xfId="0" applyAlignment="1" applyBorder="1" applyFont="1">
      <alignment horizontal="center"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1" fillId="0" fontId="3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5</xdr:row>
      <xdr:rowOff>114300</xdr:rowOff>
    </xdr:from>
    <xdr:ext cx="247650" cy="219075"/>
    <xdr:sp>
      <xdr:nvSpPr>
        <xdr:cNvPr id="3" name="Shape 3"/>
        <xdr:cNvSpPr/>
      </xdr:nvSpPr>
      <xdr:spPr>
        <a:xfrm>
          <a:off x="5226938" y="3675225"/>
          <a:ext cx="238125" cy="209550"/>
        </a:xfrm>
        <a:prstGeom prst="triangle">
          <a:avLst>
            <a:gd fmla="val 50000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3</xdr:col>
      <xdr:colOff>400050</xdr:colOff>
      <xdr:row>5</xdr:row>
      <xdr:rowOff>142875</xdr:rowOff>
    </xdr:from>
    <xdr:ext cx="247650" cy="200025"/>
    <xdr:sp>
      <xdr:nvSpPr>
        <xdr:cNvPr id="4" name="Shape 4"/>
        <xdr:cNvSpPr/>
      </xdr:nvSpPr>
      <xdr:spPr>
        <a:xfrm>
          <a:off x="5226938" y="3684750"/>
          <a:ext cx="238125" cy="190500"/>
        </a:xfrm>
        <a:prstGeom prst="triangle">
          <a:avLst>
            <a:gd fmla="val 50000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542925</xdr:colOff>
      <xdr:row>5</xdr:row>
      <xdr:rowOff>133350</xdr:rowOff>
    </xdr:from>
    <xdr:ext cx="200025" cy="209550"/>
    <xdr:sp>
      <xdr:nvSpPr>
        <xdr:cNvPr id="5" name="Shape 5"/>
        <xdr:cNvSpPr/>
      </xdr:nvSpPr>
      <xdr:spPr>
        <a:xfrm>
          <a:off x="5250750" y="3679988"/>
          <a:ext cx="190500" cy="200025"/>
        </a:xfrm>
        <a:prstGeom prst="triangle">
          <a:avLst>
            <a:gd fmla="val 50000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619125</xdr:colOff>
      <xdr:row>2</xdr:row>
      <xdr:rowOff>142875</xdr:rowOff>
    </xdr:from>
    <xdr:ext cx="47625" cy="190500"/>
    <xdr:sp>
      <xdr:nvSpPr>
        <xdr:cNvPr id="6" name="Shape 6"/>
        <xdr:cNvSpPr/>
      </xdr:nvSpPr>
      <xdr:spPr>
        <a:xfrm>
          <a:off x="5326950" y="3689513"/>
          <a:ext cx="38100" cy="180975"/>
        </a:xfrm>
        <a:prstGeom prst="triangle">
          <a:avLst>
            <a:gd fmla="val 50000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4</xdr:col>
      <xdr:colOff>476250</xdr:colOff>
      <xdr:row>5</xdr:row>
      <xdr:rowOff>114300</xdr:rowOff>
    </xdr:from>
    <xdr:ext cx="228600" cy="219075"/>
    <xdr:sp>
      <xdr:nvSpPr>
        <xdr:cNvPr id="7" name="Shape 7"/>
        <xdr:cNvSpPr/>
      </xdr:nvSpPr>
      <xdr:spPr>
        <a:xfrm>
          <a:off x="5236463" y="3675225"/>
          <a:ext cx="219075" cy="209550"/>
        </a:xfrm>
        <a:prstGeom prst="triangle">
          <a:avLst>
            <a:gd fmla="val 50000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1</xdr:col>
      <xdr:colOff>495300</xdr:colOff>
      <xdr:row>26</xdr:row>
      <xdr:rowOff>76200</xdr:rowOff>
    </xdr:from>
    <xdr:ext cx="323850" cy="209550"/>
    <xdr:sp>
      <xdr:nvSpPr>
        <xdr:cNvPr id="8" name="Shape 8"/>
        <xdr:cNvSpPr/>
      </xdr:nvSpPr>
      <xdr:spPr>
        <a:xfrm>
          <a:off x="5188838" y="3679988"/>
          <a:ext cx="314325" cy="200025"/>
        </a:xfrm>
        <a:prstGeom prst="triangle">
          <a:avLst>
            <a:gd fmla="val 50000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0</xdr:col>
      <xdr:colOff>247650</xdr:colOff>
      <xdr:row>2</xdr:row>
      <xdr:rowOff>76200</xdr:rowOff>
    </xdr:from>
    <xdr:ext cx="12382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showGridLines="0" workbookViewId="0">
      <pane xSplit="6.0" ySplit="8.0" topLeftCell="G9" activePane="bottomRight" state="frozen"/>
      <selection activeCell="G1" sqref="G1" pane="topRight"/>
      <selection activeCell="A9" sqref="A9" pane="bottomLeft"/>
      <selection activeCell="G9" sqref="G9" pane="bottomRight"/>
    </sheetView>
  </sheetViews>
  <sheetFormatPr customHeight="1" defaultColWidth="12.63" defaultRowHeight="15.0"/>
  <cols>
    <col customWidth="1" min="1" max="1" width="6.38"/>
    <col customWidth="1" min="2" max="2" width="17.0"/>
    <col customWidth="1" min="3" max="3" width="18.75"/>
    <col customWidth="1" min="4" max="18" width="16.13"/>
    <col customWidth="1" min="19" max="19" width="15.38"/>
    <col customWidth="1" min="20" max="24" width="10.0"/>
    <col customWidth="1" min="25" max="25" width="16.63"/>
    <col customWidth="1" min="26" max="26" width="13.25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</row>
    <row r="2" ht="23.25" customHeight="1">
      <c r="A2" s="3"/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8" t="s">
        <v>1</v>
      </c>
      <c r="R2" s="9" t="s">
        <v>2</v>
      </c>
      <c r="S2" s="10"/>
      <c r="T2" s="11"/>
    </row>
    <row r="3" ht="23.25" customHeight="1">
      <c r="A3" s="12"/>
      <c r="B3" s="13"/>
      <c r="C3" s="14" t="s">
        <v>3</v>
      </c>
      <c r="P3" s="15"/>
      <c r="Q3" s="16" t="s">
        <v>4</v>
      </c>
      <c r="R3" s="17" t="s">
        <v>5</v>
      </c>
      <c r="S3" s="18"/>
      <c r="T3" s="19"/>
    </row>
    <row r="4" ht="21.75" customHeight="1">
      <c r="A4" s="12"/>
      <c r="B4" s="13"/>
      <c r="C4" s="20" t="s">
        <v>6</v>
      </c>
      <c r="P4" s="15"/>
      <c r="Q4" s="16" t="s">
        <v>7</v>
      </c>
      <c r="R4" s="17"/>
      <c r="S4" s="18"/>
      <c r="T4" s="19"/>
    </row>
    <row r="5" ht="21.75" customHeight="1">
      <c r="A5" s="21"/>
      <c r="B5" s="22"/>
      <c r="C5" s="23" t="s">
        <v>8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5"/>
      <c r="Q5" s="26" t="s">
        <v>9</v>
      </c>
      <c r="R5" s="27" t="s">
        <v>10</v>
      </c>
      <c r="S5" s="28"/>
      <c r="T5" s="29"/>
    </row>
    <row r="6" ht="21.75" customHeight="1">
      <c r="A6" s="12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1" t="s">
        <v>11</v>
      </c>
      <c r="U6" s="32"/>
      <c r="V6" s="32"/>
      <c r="W6" s="32"/>
      <c r="X6" s="32"/>
      <c r="Y6" s="32"/>
      <c r="Z6" s="32"/>
    </row>
    <row r="7" ht="21.0" customHeight="1">
      <c r="A7" s="33" t="s">
        <v>12</v>
      </c>
      <c r="B7" s="33" t="s">
        <v>13</v>
      </c>
      <c r="C7" s="34" t="s">
        <v>14</v>
      </c>
      <c r="D7" s="34" t="s">
        <v>15</v>
      </c>
      <c r="E7" s="34" t="s">
        <v>16</v>
      </c>
      <c r="F7" s="34" t="s">
        <v>17</v>
      </c>
      <c r="G7" s="35" t="s">
        <v>18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7"/>
      <c r="U7" s="38"/>
      <c r="V7" s="38"/>
      <c r="W7" s="38"/>
      <c r="X7" s="38"/>
      <c r="Y7" s="38"/>
      <c r="Z7" s="38"/>
    </row>
    <row r="8" ht="21.0" customHeight="1">
      <c r="A8" s="39"/>
      <c r="B8" s="39"/>
      <c r="C8" s="39"/>
      <c r="D8" s="39"/>
      <c r="E8" s="39"/>
      <c r="F8" s="39"/>
      <c r="G8" s="40" t="s">
        <v>19</v>
      </c>
      <c r="H8" s="40" t="s">
        <v>20</v>
      </c>
      <c r="I8" s="40" t="s">
        <v>21</v>
      </c>
      <c r="J8" s="40" t="s">
        <v>22</v>
      </c>
      <c r="K8" s="40" t="s">
        <v>23</v>
      </c>
      <c r="L8" s="40" t="s">
        <v>24</v>
      </c>
      <c r="M8" s="40" t="s">
        <v>25</v>
      </c>
      <c r="N8" s="40" t="s">
        <v>26</v>
      </c>
      <c r="O8" s="40" t="s">
        <v>27</v>
      </c>
      <c r="P8" s="40" t="s">
        <v>28</v>
      </c>
      <c r="Q8" s="40" t="s">
        <v>29</v>
      </c>
      <c r="R8" s="40" t="s">
        <v>30</v>
      </c>
      <c r="S8" s="40" t="s">
        <v>31</v>
      </c>
      <c r="T8" s="40" t="s">
        <v>32</v>
      </c>
      <c r="U8" s="38"/>
      <c r="V8" s="41" t="s">
        <v>33</v>
      </c>
      <c r="W8" s="41" t="s">
        <v>34</v>
      </c>
      <c r="X8" s="41" t="s">
        <v>35</v>
      </c>
      <c r="Y8" s="41" t="s">
        <v>18</v>
      </c>
      <c r="Z8" s="41" t="s">
        <v>36</v>
      </c>
    </row>
    <row r="9" ht="21.75" customHeight="1">
      <c r="A9" s="42"/>
      <c r="B9" s="42" t="s">
        <v>37</v>
      </c>
      <c r="C9" s="43" t="s">
        <v>38</v>
      </c>
      <c r="D9" s="44" t="s">
        <v>39</v>
      </c>
      <c r="E9" s="44" t="s">
        <v>40</v>
      </c>
      <c r="F9" s="44" t="s">
        <v>41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>
        <f t="shared" ref="S9:S19" si="1">+SUM(G9:R9)</f>
        <v>0</v>
      </c>
      <c r="T9" s="46"/>
      <c r="U9" s="32"/>
      <c r="V9" s="47" t="s">
        <v>42</v>
      </c>
      <c r="W9" s="48"/>
      <c r="X9" s="48"/>
      <c r="Y9" s="49">
        <f>+S9</f>
        <v>0</v>
      </c>
      <c r="Z9" s="48"/>
    </row>
    <row r="10" ht="21.75" customHeight="1">
      <c r="A10" s="42"/>
      <c r="B10" s="44"/>
      <c r="C10" s="44"/>
      <c r="D10" s="44"/>
      <c r="E10" s="44"/>
      <c r="F10" s="44" t="s">
        <v>41</v>
      </c>
      <c r="G10" s="45" t="s">
        <v>43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>
        <f t="shared" si="1"/>
        <v>0</v>
      </c>
      <c r="T10" s="45"/>
      <c r="U10" s="32"/>
      <c r="V10" s="48"/>
      <c r="W10" s="48"/>
      <c r="X10" s="48"/>
      <c r="Y10" s="48"/>
      <c r="Z10" s="48"/>
    </row>
    <row r="11" ht="21.75" customHeight="1">
      <c r="A11" s="42"/>
      <c r="B11" s="44"/>
      <c r="C11" s="43"/>
      <c r="D11" s="44"/>
      <c r="E11" s="44"/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>
        <f t="shared" si="1"/>
        <v>0</v>
      </c>
      <c r="T11" s="45"/>
      <c r="U11" s="32"/>
      <c r="V11" s="47" t="s">
        <v>42</v>
      </c>
      <c r="W11" s="48"/>
      <c r="X11" s="48"/>
      <c r="Y11" s="49">
        <f>+S11</f>
        <v>0</v>
      </c>
      <c r="Z11" s="48"/>
    </row>
    <row r="12" ht="21.75" customHeight="1">
      <c r="A12" s="50"/>
      <c r="B12" s="50"/>
      <c r="C12" s="50"/>
      <c r="D12" s="50"/>
      <c r="E12" s="50"/>
      <c r="F12" s="44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45">
        <f t="shared" si="1"/>
        <v>0</v>
      </c>
      <c r="T12" s="51"/>
      <c r="U12" s="32"/>
      <c r="V12" s="48"/>
      <c r="W12" s="48"/>
      <c r="X12" s="48"/>
      <c r="Y12" s="48"/>
      <c r="Z12" s="48"/>
    </row>
    <row r="13" ht="21.75" customHeight="1">
      <c r="A13" s="42"/>
      <c r="B13" s="44"/>
      <c r="C13" s="43"/>
      <c r="D13" s="44"/>
      <c r="E13" s="44"/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>
        <f t="shared" si="1"/>
        <v>0</v>
      </c>
      <c r="T13" s="45"/>
      <c r="U13" s="32"/>
      <c r="V13" s="47" t="s">
        <v>42</v>
      </c>
      <c r="W13" s="48"/>
      <c r="X13" s="48"/>
      <c r="Y13" s="49"/>
      <c r="Z13" s="48"/>
    </row>
    <row r="14" ht="21.75" customHeight="1">
      <c r="A14" s="42"/>
      <c r="B14" s="44"/>
      <c r="C14" s="44"/>
      <c r="D14" s="44"/>
      <c r="E14" s="44"/>
      <c r="F14" s="44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>
        <f t="shared" si="1"/>
        <v>0</v>
      </c>
      <c r="T14" s="45"/>
      <c r="U14" s="32"/>
      <c r="V14" s="48"/>
      <c r="W14" s="48"/>
      <c r="X14" s="48"/>
      <c r="Y14" s="48"/>
      <c r="Z14" s="48"/>
    </row>
    <row r="15" ht="21.75" customHeight="1">
      <c r="A15" s="42"/>
      <c r="B15" s="44"/>
      <c r="C15" s="44"/>
      <c r="D15" s="44"/>
      <c r="E15" s="44"/>
      <c r="F15" s="44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>
        <f t="shared" si="1"/>
        <v>0</v>
      </c>
      <c r="T15" s="45"/>
      <c r="U15" s="32"/>
      <c r="V15" s="48"/>
      <c r="W15" s="48"/>
      <c r="X15" s="48"/>
      <c r="Y15" s="48"/>
      <c r="Z15" s="48"/>
    </row>
    <row r="16" ht="21.75" customHeight="1">
      <c r="A16" s="42"/>
      <c r="B16" s="44"/>
      <c r="C16" s="44"/>
      <c r="D16" s="44"/>
      <c r="E16" s="44"/>
      <c r="F16" s="44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>
        <f t="shared" si="1"/>
        <v>0</v>
      </c>
      <c r="T16" s="45"/>
      <c r="U16" s="32"/>
      <c r="V16" s="48"/>
      <c r="W16" s="48"/>
      <c r="X16" s="48"/>
      <c r="Y16" s="48"/>
      <c r="Z16" s="48"/>
    </row>
    <row r="17" ht="21.75" customHeight="1">
      <c r="A17" s="42"/>
      <c r="B17" s="44"/>
      <c r="C17" s="44"/>
      <c r="D17" s="44"/>
      <c r="E17" s="44"/>
      <c r="F17" s="44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>
        <f t="shared" si="1"/>
        <v>0</v>
      </c>
      <c r="T17" s="45"/>
      <c r="U17" s="32"/>
      <c r="V17" s="48"/>
      <c r="W17" s="48"/>
      <c r="X17" s="48"/>
      <c r="Y17" s="48"/>
      <c r="Z17" s="48"/>
    </row>
    <row r="18" ht="21.75" customHeight="1">
      <c r="A18" s="50"/>
      <c r="B18" s="52"/>
      <c r="C18" s="50"/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45">
        <f t="shared" si="1"/>
        <v>0</v>
      </c>
      <c r="T18" s="51"/>
      <c r="U18" s="32"/>
      <c r="V18" s="48"/>
      <c r="W18" s="48"/>
      <c r="X18" s="48"/>
      <c r="Y18" s="48"/>
      <c r="Z18" s="48"/>
    </row>
    <row r="19" ht="21.75" customHeight="1">
      <c r="A19" s="53"/>
      <c r="B19" s="53"/>
      <c r="C19" s="53"/>
      <c r="D19" s="53"/>
      <c r="E19" s="53"/>
      <c r="F19" s="53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5"/>
      <c r="S19" s="45">
        <f t="shared" si="1"/>
        <v>0</v>
      </c>
      <c r="T19" s="55"/>
      <c r="U19" s="32"/>
      <c r="V19" s="48"/>
      <c r="W19" s="48"/>
      <c r="X19" s="48"/>
      <c r="Y19" s="48"/>
      <c r="Z19" s="48"/>
    </row>
    <row r="20" ht="21.75" customHeight="1">
      <c r="A20" s="56" t="s">
        <v>44</v>
      </c>
      <c r="B20" s="57"/>
      <c r="C20" s="57"/>
      <c r="D20" s="57"/>
      <c r="E20" s="57"/>
      <c r="F20" s="58"/>
      <c r="G20" s="59">
        <f t="shared" ref="G20:S20" si="2">+G9+G11+G13</f>
        <v>0</v>
      </c>
      <c r="H20" s="59">
        <f t="shared" si="2"/>
        <v>0</v>
      </c>
      <c r="I20" s="59">
        <f t="shared" si="2"/>
        <v>0</v>
      </c>
      <c r="J20" s="59">
        <f t="shared" si="2"/>
        <v>0</v>
      </c>
      <c r="K20" s="59">
        <f t="shared" si="2"/>
        <v>0</v>
      </c>
      <c r="L20" s="59">
        <f t="shared" si="2"/>
        <v>0</v>
      </c>
      <c r="M20" s="59">
        <f t="shared" si="2"/>
        <v>0</v>
      </c>
      <c r="N20" s="59">
        <f t="shared" si="2"/>
        <v>0</v>
      </c>
      <c r="O20" s="59">
        <f t="shared" si="2"/>
        <v>0</v>
      </c>
      <c r="P20" s="59">
        <f t="shared" si="2"/>
        <v>0</v>
      </c>
      <c r="Q20" s="59">
        <f t="shared" si="2"/>
        <v>0</v>
      </c>
      <c r="R20" s="59">
        <f t="shared" si="2"/>
        <v>0</v>
      </c>
      <c r="S20" s="59">
        <f t="shared" si="2"/>
        <v>0</v>
      </c>
      <c r="T20" s="60"/>
      <c r="U20" s="32"/>
      <c r="V20" s="48"/>
      <c r="W20" s="48"/>
      <c r="X20" s="48"/>
      <c r="Y20" s="61">
        <f>SUM(Y9:Y19)</f>
        <v>0</v>
      </c>
      <c r="Z20" s="48"/>
    </row>
    <row r="21" ht="21.75" customHeight="1">
      <c r="A21" s="62" t="s">
        <v>45</v>
      </c>
      <c r="B21" s="63"/>
      <c r="C21" s="63"/>
      <c r="D21" s="63"/>
      <c r="E21" s="63"/>
      <c r="F21" s="64"/>
      <c r="G21" s="65" t="str">
        <f t="shared" ref="G21:J21" si="3">+G10+G12+G14</f>
        <v>#VALUE!</v>
      </c>
      <c r="H21" s="65">
        <f t="shared" si="3"/>
        <v>0</v>
      </c>
      <c r="I21" s="65">
        <f t="shared" si="3"/>
        <v>0</v>
      </c>
      <c r="J21" s="65">
        <f t="shared" si="3"/>
        <v>0</v>
      </c>
      <c r="K21" s="65">
        <f>+K10+K12+K14+K16</f>
        <v>0</v>
      </c>
      <c r="L21" s="65">
        <f t="shared" ref="L21:S21" si="4">+L10+L12+L14</f>
        <v>0</v>
      </c>
      <c r="M21" s="65">
        <f t="shared" si="4"/>
        <v>0</v>
      </c>
      <c r="N21" s="65">
        <f t="shared" si="4"/>
        <v>0</v>
      </c>
      <c r="O21" s="65">
        <f t="shared" si="4"/>
        <v>0</v>
      </c>
      <c r="P21" s="65">
        <f t="shared" si="4"/>
        <v>0</v>
      </c>
      <c r="Q21" s="65">
        <f t="shared" si="4"/>
        <v>0</v>
      </c>
      <c r="R21" s="65">
        <f t="shared" si="4"/>
        <v>0</v>
      </c>
      <c r="S21" s="65">
        <f t="shared" si="4"/>
        <v>0</v>
      </c>
      <c r="T21" s="66"/>
      <c r="U21" s="32"/>
      <c r="V21" s="32"/>
      <c r="W21" s="32"/>
      <c r="X21" s="32"/>
      <c r="Y21" s="67"/>
      <c r="Z21" s="32"/>
    </row>
    <row r="22" ht="21.75" customHeight="1">
      <c r="A22" s="68" t="s">
        <v>46</v>
      </c>
      <c r="B22" s="63"/>
      <c r="C22" s="63"/>
      <c r="D22" s="63"/>
      <c r="E22" s="63"/>
      <c r="F22" s="64"/>
      <c r="G22" s="69" t="str">
        <f t="shared" ref="G22:S22" si="5">+G20-G21</f>
        <v>#VALUE!</v>
      </c>
      <c r="H22" s="69">
        <f t="shared" si="5"/>
        <v>0</v>
      </c>
      <c r="I22" s="69">
        <f t="shared" si="5"/>
        <v>0</v>
      </c>
      <c r="J22" s="69">
        <f t="shared" si="5"/>
        <v>0</v>
      </c>
      <c r="K22" s="69">
        <f t="shared" si="5"/>
        <v>0</v>
      </c>
      <c r="L22" s="69">
        <f t="shared" si="5"/>
        <v>0</v>
      </c>
      <c r="M22" s="69">
        <f t="shared" si="5"/>
        <v>0</v>
      </c>
      <c r="N22" s="69">
        <f t="shared" si="5"/>
        <v>0</v>
      </c>
      <c r="O22" s="69">
        <f t="shared" si="5"/>
        <v>0</v>
      </c>
      <c r="P22" s="69">
        <f t="shared" si="5"/>
        <v>0</v>
      </c>
      <c r="Q22" s="69">
        <f t="shared" si="5"/>
        <v>0</v>
      </c>
      <c r="R22" s="69">
        <f t="shared" si="5"/>
        <v>0</v>
      </c>
      <c r="S22" s="69">
        <f t="shared" si="5"/>
        <v>0</v>
      </c>
      <c r="T22" s="66"/>
      <c r="U22" s="32"/>
      <c r="V22" s="32"/>
      <c r="W22" s="32"/>
      <c r="X22" s="32"/>
      <c r="Y22" s="67"/>
      <c r="Z22" s="32"/>
    </row>
    <row r="23" ht="21.75" customHeight="1">
      <c r="A23" s="70" t="s">
        <v>47</v>
      </c>
      <c r="B23" s="63"/>
      <c r="C23" s="63"/>
      <c r="D23" s="63"/>
      <c r="E23" s="63"/>
      <c r="F23" s="64"/>
      <c r="G23" s="71" t="str">
        <f t="shared" ref="G23:S23" si="6">+G21/G20</f>
        <v>#VALUE!</v>
      </c>
      <c r="H23" s="71" t="str">
        <f t="shared" si="6"/>
        <v>#DIV/0!</v>
      </c>
      <c r="I23" s="71" t="str">
        <f t="shared" si="6"/>
        <v>#DIV/0!</v>
      </c>
      <c r="J23" s="71" t="str">
        <f t="shared" si="6"/>
        <v>#DIV/0!</v>
      </c>
      <c r="K23" s="71" t="str">
        <f t="shared" si="6"/>
        <v>#DIV/0!</v>
      </c>
      <c r="L23" s="71" t="str">
        <f t="shared" si="6"/>
        <v>#DIV/0!</v>
      </c>
      <c r="M23" s="71" t="str">
        <f t="shared" si="6"/>
        <v>#DIV/0!</v>
      </c>
      <c r="N23" s="71" t="str">
        <f t="shared" si="6"/>
        <v>#DIV/0!</v>
      </c>
      <c r="O23" s="71" t="str">
        <f t="shared" si="6"/>
        <v>#DIV/0!</v>
      </c>
      <c r="P23" s="71" t="str">
        <f t="shared" si="6"/>
        <v>#DIV/0!</v>
      </c>
      <c r="Q23" s="71" t="str">
        <f t="shared" si="6"/>
        <v>#DIV/0!</v>
      </c>
      <c r="R23" s="71" t="str">
        <f t="shared" si="6"/>
        <v>#DIV/0!</v>
      </c>
      <c r="S23" s="71" t="str">
        <f t="shared" si="6"/>
        <v>#DIV/0!</v>
      </c>
      <c r="T23" s="66"/>
      <c r="U23" s="32"/>
      <c r="V23" s="32"/>
      <c r="W23" s="32"/>
      <c r="X23" s="32"/>
      <c r="Y23" s="67"/>
      <c r="Z23" s="32"/>
    </row>
    <row r="24" ht="21.75" customHeight="1">
      <c r="A24" s="72" t="s">
        <v>48</v>
      </c>
      <c r="B24" s="73"/>
      <c r="C24" s="73"/>
      <c r="D24" s="73"/>
      <c r="E24" s="73"/>
      <c r="F24" s="74"/>
      <c r="G24" s="75" t="str">
        <f>+G22</f>
        <v>#VALUE!</v>
      </c>
      <c r="H24" s="75" t="str">
        <f t="shared" ref="H24:R24" si="7">+G24+H22</f>
        <v>#VALUE!</v>
      </c>
      <c r="I24" s="75" t="str">
        <f t="shared" si="7"/>
        <v>#VALUE!</v>
      </c>
      <c r="J24" s="75" t="str">
        <f t="shared" si="7"/>
        <v>#VALUE!</v>
      </c>
      <c r="K24" s="75" t="str">
        <f t="shared" si="7"/>
        <v>#VALUE!</v>
      </c>
      <c r="L24" s="75" t="str">
        <f t="shared" si="7"/>
        <v>#VALUE!</v>
      </c>
      <c r="M24" s="75" t="str">
        <f t="shared" si="7"/>
        <v>#VALUE!</v>
      </c>
      <c r="N24" s="75" t="str">
        <f t="shared" si="7"/>
        <v>#VALUE!</v>
      </c>
      <c r="O24" s="75" t="str">
        <f t="shared" si="7"/>
        <v>#VALUE!</v>
      </c>
      <c r="P24" s="75" t="str">
        <f t="shared" si="7"/>
        <v>#VALUE!</v>
      </c>
      <c r="Q24" s="75" t="str">
        <f t="shared" si="7"/>
        <v>#VALUE!</v>
      </c>
      <c r="R24" s="75" t="str">
        <f t="shared" si="7"/>
        <v>#VALUE!</v>
      </c>
      <c r="S24" s="75" t="str">
        <f>+R24</f>
        <v>#VALUE!</v>
      </c>
      <c r="T24" s="66"/>
      <c r="U24" s="32"/>
      <c r="V24" s="32"/>
      <c r="W24" s="32"/>
      <c r="X24" s="32"/>
      <c r="Y24" s="67"/>
      <c r="Z24" s="32"/>
    </row>
    <row r="25" ht="18.75" customHeight="1">
      <c r="A25" s="7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77"/>
    </row>
    <row r="26" ht="18.75" customHeight="1">
      <c r="A26" s="76"/>
      <c r="B26" s="78" t="s">
        <v>49</v>
      </c>
      <c r="C26" s="79" t="s">
        <v>50</v>
      </c>
      <c r="D26" s="3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77"/>
    </row>
    <row r="27" ht="28.5" customHeight="1">
      <c r="A27" s="76"/>
      <c r="B27" s="80"/>
      <c r="C27" s="81" t="s">
        <v>51</v>
      </c>
      <c r="D27" s="3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77"/>
    </row>
    <row r="28" ht="18.75" customHeight="1">
      <c r="A28" s="76"/>
      <c r="B28" s="82"/>
      <c r="C28" s="83"/>
      <c r="D28" s="8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77"/>
    </row>
    <row r="29" ht="18.75" customHeight="1">
      <c r="A29" s="7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77"/>
    </row>
    <row r="30" ht="18.75" customHeight="1">
      <c r="A30" s="7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77"/>
    </row>
    <row r="31" ht="21.0" customHeight="1">
      <c r="A31" s="7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85" t="s">
        <v>52</v>
      </c>
      <c r="P31" s="37"/>
      <c r="Q31" s="85" t="s">
        <v>53</v>
      </c>
      <c r="R31" s="37"/>
      <c r="S31" s="86" t="s">
        <v>54</v>
      </c>
      <c r="T31" s="37"/>
    </row>
    <row r="32" ht="36.75" customHeight="1">
      <c r="A32" s="87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9"/>
      <c r="O32" s="90"/>
      <c r="P32" s="91"/>
      <c r="Q32" s="90"/>
      <c r="R32" s="91"/>
      <c r="S32" s="92"/>
      <c r="T32" s="91"/>
    </row>
    <row r="33" ht="21.75" customHeight="1"/>
    <row r="34" ht="21.75" customHeight="1"/>
    <row r="35" ht="21.75" customHeight="1"/>
    <row r="36" ht="21.75" customHeight="1"/>
    <row r="37" ht="21.75" customHeight="1">
      <c r="C37" s="1"/>
      <c r="D37" s="1"/>
      <c r="E37" s="1"/>
      <c r="F37" s="1"/>
    </row>
    <row r="38" ht="21.75" customHeight="1">
      <c r="C38" s="1"/>
      <c r="D38" s="1"/>
      <c r="E38" s="1"/>
      <c r="F38" s="1"/>
    </row>
    <row r="39" ht="21.75" customHeight="1">
      <c r="C39" s="1"/>
      <c r="D39" s="1"/>
      <c r="E39" s="1"/>
      <c r="F39" s="1"/>
    </row>
    <row r="40" ht="21.75" customHeight="1">
      <c r="C40" s="1"/>
      <c r="D40" s="1"/>
      <c r="E40" s="1"/>
      <c r="F40" s="1"/>
    </row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F7:F8"/>
    <mergeCell ref="G7:T7"/>
    <mergeCell ref="C2:P2"/>
    <mergeCell ref="C3:P3"/>
    <mergeCell ref="C4:P4"/>
    <mergeCell ref="C5:P5"/>
    <mergeCell ref="A7:A8"/>
    <mergeCell ref="B7:B8"/>
    <mergeCell ref="C7:C8"/>
    <mergeCell ref="C26:D26"/>
    <mergeCell ref="C27:D27"/>
    <mergeCell ref="O31:P31"/>
    <mergeCell ref="Q31:R31"/>
    <mergeCell ref="S31:T31"/>
    <mergeCell ref="D7:D8"/>
    <mergeCell ref="E7:E8"/>
    <mergeCell ref="A20:F20"/>
    <mergeCell ref="A21:F21"/>
    <mergeCell ref="A22:F22"/>
    <mergeCell ref="A23:F23"/>
    <mergeCell ref="A24:F24"/>
  </mergeCells>
  <printOptions/>
  <pageMargins bottom="0.75" footer="0.0" header="0.0" left="0.7" right="0.7" top="0.75"/>
  <pageSetup orientation="landscape"/>
  <drawing r:id="rId1"/>
</worksheet>
</file>